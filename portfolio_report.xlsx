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Holdings" sheetId="2" state="visible" r:id="rId2"/>
    <sheet xmlns:r="http://schemas.openxmlformats.org/officeDocument/2006/relationships" name="📈 Performance" sheetId="3" state="visible" r:id="rId3"/>
    <sheet xmlns:r="http://schemas.openxmlformats.org/officeDocument/2006/relationships" name="🔍 Fundamen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+0.00%;-0.00%"/>
    <numFmt numFmtId="166" formatCode="$#,##0.00;($#,##0.00);&quot;-&quot;"/>
    <numFmt numFmtId="167" formatCode="0.00%;(0.00%);&quot;-&quot;"/>
    <numFmt numFmtId="168" formatCode="$#,##0,,,&quot;B&quot;"/>
    <numFmt numFmtId="169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i val="1"/>
      <color rgb="0094A3B8"/>
      <sz val="9"/>
    </font>
    <font>
      <name val="Arial"/>
      <b val="1"/>
      <color rgb="001B3A6B"/>
      <sz val="11"/>
    </font>
    <font>
      <name val="Arial"/>
      <b val="1"/>
      <color rgb="00991B1B"/>
      <sz val="11"/>
    </font>
    <font>
      <name val="Arial"/>
      <b val="1"/>
      <color rgb="00166534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E293B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b val="1"/>
      <color rgb="00FFFFFF"/>
      <sz val="11"/>
    </font>
    <font>
      <name val="Arial"/>
      <b val="1"/>
      <color rgb="00166534"/>
      <sz val="10"/>
    </font>
    <font>
      <name val="Arial"/>
      <b val="1"/>
      <color rgb="00991B1B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F4FF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1B3A6B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/>
    </xf>
    <xf numFmtId="3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8" fillId="9" borderId="1" applyAlignment="1" pivotButton="0" quotePrefix="0" xfId="0">
      <alignment vertical="center"/>
    </xf>
    <xf numFmtId="3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11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166" fontId="9" fillId="8" borderId="1" applyAlignment="1" pivotButton="0" quotePrefix="0" xfId="0">
      <alignment horizontal="right" vertical="center"/>
    </xf>
    <xf numFmtId="167" fontId="9" fillId="8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7" fontId="9" fillId="9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167" fontId="10" fillId="8" borderId="1" applyAlignment="1" pivotButton="0" quotePrefix="0" xfId="0">
      <alignment horizontal="right" vertical="center"/>
    </xf>
    <xf numFmtId="166" fontId="11" fillId="6" borderId="1" applyAlignment="1" pivotButton="0" quotePrefix="0" xfId="0">
      <alignment horizontal="right" vertical="center"/>
    </xf>
    <xf numFmtId="167" fontId="11" fillId="6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165" fontId="12" fillId="9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168" fontId="8" fillId="8" borderId="1" applyAlignment="1" pivotButton="0" quotePrefix="0" xfId="0">
      <alignment horizontal="right" vertical="center"/>
    </xf>
    <xf numFmtId="169" fontId="8" fillId="8" borderId="1" applyAlignment="1" pivotButton="0" quotePrefix="0" xfId="0">
      <alignment horizontal="right" vertical="center"/>
    </xf>
    <xf numFmtId="10" fontId="8" fillId="8" borderId="1" applyAlignment="1" pivotButton="0" quotePrefix="0" xfId="0">
      <alignment horizontal="right" vertical="center"/>
    </xf>
    <xf numFmtId="2" fontId="8" fillId="8" borderId="1" applyAlignment="1" pivotButton="0" quotePrefix="0" xfId="0">
      <alignment horizontal="right" vertical="center"/>
    </xf>
    <xf numFmtId="168" fontId="8" fillId="9" borderId="1" applyAlignment="1" pivotButton="0" quotePrefix="0" xfId="0">
      <alignment horizontal="right" vertical="center"/>
    </xf>
    <xf numFmtId="169" fontId="8" fillId="9" borderId="1" applyAlignment="1" pivotButton="0" quotePrefix="0" xfId="0">
      <alignment horizontal="right" vertical="center"/>
    </xf>
    <xf numFmtId="10" fontId="8" fillId="9" borderId="1" applyAlignment="1" pivotButton="0" quotePrefix="0" xfId="0">
      <alignment horizontal="right" vertical="center"/>
    </xf>
    <xf numFmtId="2" fontId="8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Value by Holding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Summary'!G8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'📊 Summary'!$B$9:$B$16</f>
            </numRef>
          </cat>
          <val>
            <numRef>
              <f>'📊 Summary'!$G$9:$G$16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6" customWidth="1" min="3" max="3"/>
    <col width="22" customWidth="1" min="4" max="4"/>
    <col width="10" customWidth="1" min="5" max="5"/>
    <col width="15" customWidth="1" min="6" max="6"/>
    <col width="15" customWidth="1" min="7" max="7"/>
    <col width="16" customWidth="1" min="8" max="8"/>
    <col width="13" customWidth="1" min="9" max="9"/>
    <col width="13" customWidth="1" min="10" max="10"/>
  </cols>
  <sheetData>
    <row r="1" ht="8" customHeight="1"/>
    <row r="2" ht="44" customHeight="1">
      <c r="B2" s="1" t="inlineStr">
        <is>
          <t xml:space="preserve">  STOCK PORTFOLIO TRACKER</t>
        </is>
      </c>
    </row>
    <row r="3" ht="22" customHeight="1">
      <c r="B3" s="2" t="inlineStr">
        <is>
          <t>Generated: April 10, 2026  |  12:08 AM   |   Data: Simulated (replace with live yfinance data)</t>
        </is>
      </c>
    </row>
    <row r="4" ht="10" customHeight="1"/>
    <row r="5" ht="60" customHeight="1">
      <c r="C5" s="3" t="inlineStr">
        <is>
          <t>💼 TOTAL VALUE
$19,366.80</t>
        </is>
      </c>
      <c r="D5" s="3" t="inlineStr">
        <is>
          <t>💰 INVESTED
$20,835.00</t>
        </is>
      </c>
      <c r="E5" s="4" t="inlineStr">
        <is>
          <t>📈 TOTAL GAIN
$-1,468.20</t>
        </is>
      </c>
      <c r="F5" s="4" t="inlineStr">
        <is>
          <t>🎯 TOTAL RETURN
-7.05%</t>
        </is>
      </c>
      <c r="G5" s="5" t="inlineStr">
        <is>
          <t>📅 DAY CHANGE
$+135.80</t>
        </is>
      </c>
      <c r="H5" s="3" t="inlineStr">
        <is>
          <t>🏢 POSITIONS
8</t>
        </is>
      </c>
    </row>
    <row r="6" ht="10" customHeight="1"/>
    <row r="7" ht="24" customHeight="1">
      <c r="B7" s="6" t="inlineStr">
        <is>
          <t>PORTFOLIO ALLOCATION</t>
        </is>
      </c>
    </row>
    <row r="8" ht="22" customHeight="1">
      <c r="B8" s="7" t="inlineStr">
        <is>
          <t>Ticker</t>
        </is>
      </c>
      <c r="C8" s="7" t="inlineStr">
        <is>
          <t>Company</t>
        </is>
      </c>
      <c r="D8" s="7" t="inlineStr">
        <is>
          <t>Sector</t>
        </is>
      </c>
      <c r="E8" s="7" t="inlineStr">
        <is>
          <t>Shares</t>
        </is>
      </c>
      <c r="F8" s="7" t="inlineStr">
        <is>
          <t>Cost Basis ($)</t>
        </is>
      </c>
      <c r="G8" s="7" t="inlineStr">
        <is>
          <t>Market Value ($)</t>
        </is>
      </c>
      <c r="H8" s="7" t="inlineStr">
        <is>
          <t>Unrealized P&amp;L ($)</t>
        </is>
      </c>
      <c r="I8" s="7" t="inlineStr">
        <is>
          <t>Return (%)</t>
        </is>
      </c>
      <c r="J8" s="7" t="inlineStr">
        <is>
          <t>Weight (%)</t>
        </is>
      </c>
    </row>
    <row r="9" ht="18" customHeight="1">
      <c r="B9" s="8" t="inlineStr">
        <is>
          <t>AAPL</t>
        </is>
      </c>
      <c r="C9" s="8" t="inlineStr">
        <is>
          <t>Apple Inc.</t>
        </is>
      </c>
      <c r="D9" s="8" t="inlineStr">
        <is>
          <t>Technology</t>
        </is>
      </c>
      <c r="E9" s="9" t="n">
        <v>10</v>
      </c>
      <c r="F9" s="10" t="n">
        <v>1500</v>
      </c>
      <c r="G9" s="10" t="n">
        <v>2275</v>
      </c>
      <c r="H9" s="11" t="n">
        <v>775</v>
      </c>
      <c r="I9" s="12" t="n">
        <v>0.5166666666666667</v>
      </c>
      <c r="J9" s="12" t="n">
        <v>0.1174690707809241</v>
      </c>
    </row>
    <row r="10" ht="18" customHeight="1">
      <c r="B10" s="13" t="inlineStr">
        <is>
          <t>MSFT</t>
        </is>
      </c>
      <c r="C10" s="13" t="inlineStr">
        <is>
          <t>Microsoft Corp.</t>
        </is>
      </c>
      <c r="D10" s="13" t="inlineStr">
        <is>
          <t>Technology</t>
        </is>
      </c>
      <c r="E10" s="14" t="n">
        <v>5</v>
      </c>
      <c r="F10" s="15" t="n">
        <v>1400</v>
      </c>
      <c r="G10" s="15" t="n">
        <v>2076.6</v>
      </c>
      <c r="H10" s="16" t="n">
        <v>676.5999999999999</v>
      </c>
      <c r="I10" s="17" t="n">
        <v>0.4832857142857142</v>
      </c>
      <c r="J10" s="17" t="n">
        <v>0.1072247351136997</v>
      </c>
    </row>
    <row r="11" ht="18" customHeight="1">
      <c r="B11" s="8" t="inlineStr">
        <is>
          <t>GOOGL</t>
        </is>
      </c>
      <c r="C11" s="8" t="inlineStr">
        <is>
          <t>Alphabet Inc.</t>
        </is>
      </c>
      <c r="D11" s="8" t="inlineStr">
        <is>
          <t>Communication Svcs</t>
        </is>
      </c>
      <c r="E11" s="9" t="n">
        <v>3</v>
      </c>
      <c r="F11" s="10" t="n">
        <v>8400</v>
      </c>
      <c r="G11" s="10" t="n">
        <v>523.05</v>
      </c>
      <c r="H11" s="18" t="n">
        <v>-7876.95</v>
      </c>
      <c r="I11" s="19" t="n">
        <v>-0.9377321428571428</v>
      </c>
      <c r="J11" s="12" t="n">
        <v>0.02700755932833509</v>
      </c>
    </row>
    <row r="12" ht="18" customHeight="1">
      <c r="B12" s="13" t="inlineStr">
        <is>
          <t>AMZN</t>
        </is>
      </c>
      <c r="C12" s="13" t="inlineStr">
        <is>
          <t>Amazon.com Inc.</t>
        </is>
      </c>
      <c r="D12" s="13" t="inlineStr">
        <is>
          <t>Consumer Discret.</t>
        </is>
      </c>
      <c r="E12" s="14" t="n">
        <v>8</v>
      </c>
      <c r="F12" s="15" t="n">
        <v>1360</v>
      </c>
      <c r="G12" s="15" t="n">
        <v>1712.8</v>
      </c>
      <c r="H12" s="16" t="n">
        <v>352.8</v>
      </c>
      <c r="I12" s="17" t="n">
        <v>0.2594117647058823</v>
      </c>
      <c r="J12" s="17" t="n">
        <v>0.08844001074002933</v>
      </c>
    </row>
    <row r="13" ht="18" customHeight="1">
      <c r="B13" s="8" t="inlineStr">
        <is>
          <t>JPM</t>
        </is>
      </c>
      <c r="C13" s="8" t="inlineStr">
        <is>
          <t>JPMorgan Chase &amp; Co.</t>
        </is>
      </c>
      <c r="D13" s="8" t="inlineStr">
        <is>
          <t>Financials</t>
        </is>
      </c>
      <c r="E13" s="9" t="n">
        <v>15</v>
      </c>
      <c r="F13" s="10" t="n">
        <v>2775</v>
      </c>
      <c r="G13" s="10" t="n">
        <v>4251.75</v>
      </c>
      <c r="H13" s="11" t="n">
        <v>1476.75</v>
      </c>
      <c r="I13" s="12" t="n">
        <v>0.5321621621621622</v>
      </c>
      <c r="J13" s="12" t="n">
        <v>0.2195380754693599</v>
      </c>
    </row>
    <row r="14" ht="18" customHeight="1">
      <c r="B14" s="13" t="inlineStr">
        <is>
          <t>BAC</t>
        </is>
      </c>
      <c r="C14" s="13" t="inlineStr">
        <is>
          <t>Bank of America Corp.</t>
        </is>
      </c>
      <c r="D14" s="13" t="inlineStr">
        <is>
          <t>Financials</t>
        </is>
      </c>
      <c r="E14" s="14" t="n">
        <v>20</v>
      </c>
      <c r="F14" s="15" t="n">
        <v>760</v>
      </c>
      <c r="G14" s="15" t="n">
        <v>882.4</v>
      </c>
      <c r="H14" s="16" t="n">
        <v>122.4</v>
      </c>
      <c r="I14" s="17" t="n">
        <v>0.1610526315789473</v>
      </c>
      <c r="J14" s="17" t="n">
        <v>0.04556250903608237</v>
      </c>
    </row>
    <row r="15" ht="18" customHeight="1">
      <c r="B15" s="8" t="inlineStr">
        <is>
          <t>GS</t>
        </is>
      </c>
      <c r="C15" s="8" t="inlineStr">
        <is>
          <t>Goldman Sachs Group Inc.</t>
        </is>
      </c>
      <c r="D15" s="8" t="inlineStr">
        <is>
          <t>Financials</t>
        </is>
      </c>
      <c r="E15" s="9" t="n">
        <v>4</v>
      </c>
      <c r="F15" s="10" t="n">
        <v>1640</v>
      </c>
      <c r="G15" s="10" t="n">
        <v>2392.8</v>
      </c>
      <c r="H15" s="11" t="n">
        <v>752.8000000000002</v>
      </c>
      <c r="I15" s="12" t="n">
        <v>0.4590243902439026</v>
      </c>
      <c r="J15" s="12" t="n">
        <v>0.1235516450833385</v>
      </c>
    </row>
    <row r="16" ht="18" customHeight="1">
      <c r="B16" s="13" t="inlineStr">
        <is>
          <t>NVDA</t>
        </is>
      </c>
      <c r="C16" s="13" t="inlineStr">
        <is>
          <t>NVIDIA Corp.</t>
        </is>
      </c>
      <c r="D16" s="13" t="inlineStr">
        <is>
          <t>Technology</t>
        </is>
      </c>
      <c r="E16" s="14" t="n">
        <v>6</v>
      </c>
      <c r="F16" s="15" t="n">
        <v>3000</v>
      </c>
      <c r="G16" s="15" t="n">
        <v>5252.4</v>
      </c>
      <c r="H16" s="16" t="n">
        <v>2252.4</v>
      </c>
      <c r="I16" s="17" t="n">
        <v>0.7507999999999999</v>
      </c>
      <c r="J16" s="17" t="n">
        <v>0.271206394448231</v>
      </c>
    </row>
    <row r="17" ht="22" customHeight="1">
      <c r="B17" s="20" t="inlineStr">
        <is>
          <t>TOTAL</t>
        </is>
      </c>
      <c r="C17" s="21" t="n"/>
      <c r="D17" s="21" t="n"/>
      <c r="E17" s="21" t="n"/>
      <c r="F17" s="22" t="n">
        <v>20835</v>
      </c>
      <c r="G17" s="22" t="n">
        <v>19366.8</v>
      </c>
      <c r="H17" s="22" t="n">
        <v>-1468.200000000001</v>
      </c>
      <c r="I17" s="23" t="n">
        <v>-0.07046796256299499</v>
      </c>
      <c r="J17" s="23" t="n">
        <v>1</v>
      </c>
    </row>
  </sheetData>
  <mergeCells count="3">
    <mergeCell ref="B7:J7"/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3" customWidth="1" min="10" max="10"/>
    <col width="14" customWidth="1" min="11" max="11"/>
    <col width="13" customWidth="1" min="12" max="12"/>
  </cols>
  <sheetData>
    <row r="1" ht="28" customHeight="1">
      <c r="A1" s="24" t="inlineStr">
        <is>
          <t>Ticker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Shares</t>
        </is>
      </c>
      <c r="E1" s="24" t="inlineStr">
        <is>
          <t>Avg Cost</t>
        </is>
      </c>
      <c r="F1" s="24" t="inlineStr">
        <is>
          <t>Current Price</t>
        </is>
      </c>
      <c r="G1" s="24" t="inlineStr">
        <is>
          <t>Cost Basis</t>
        </is>
      </c>
      <c r="H1" s="24" t="inlineStr">
        <is>
          <t>Market Value</t>
        </is>
      </c>
      <c r="I1" s="24" t="inlineStr">
        <is>
          <t>Unrealized P&amp;L</t>
        </is>
      </c>
      <c r="J1" s="24" t="inlineStr">
        <is>
          <t>Return %</t>
        </is>
      </c>
      <c r="K1" s="24" t="inlineStr">
        <is>
          <t>Day Change $</t>
        </is>
      </c>
      <c r="L1" s="24" t="inlineStr">
        <is>
          <t>Day Change %</t>
        </is>
      </c>
    </row>
    <row r="2" ht="20" customHeight="1">
      <c r="A2" s="8" t="inlineStr">
        <is>
          <t>AAPL</t>
        </is>
      </c>
      <c r="B2" s="8" t="inlineStr">
        <is>
          <t>Apple Inc.</t>
        </is>
      </c>
      <c r="C2" s="8" t="inlineStr">
        <is>
          <t>Technology</t>
        </is>
      </c>
      <c r="D2" s="9" t="n">
        <v>10</v>
      </c>
      <c r="E2" s="10" t="n">
        <v>150</v>
      </c>
      <c r="F2" s="10" t="n">
        <v>227.5</v>
      </c>
      <c r="G2" s="10">
        <f>D2*E2</f>
        <v/>
      </c>
      <c r="H2" s="10">
        <f>D2*F2</f>
        <v/>
      </c>
      <c r="I2" s="25">
        <f>H2-G2</f>
        <v/>
      </c>
      <c r="J2" s="26">
        <f>IFERROR(I2/G2,0)</f>
        <v/>
      </c>
      <c r="K2" s="25">
        <f>D2*(F2-225.8)</f>
        <v/>
      </c>
      <c r="L2" s="26">
        <f>IFERROR(K2/(D2*225.8),0)</f>
        <v/>
      </c>
    </row>
    <row r="3" ht="20" customHeight="1">
      <c r="A3" s="13" t="inlineStr">
        <is>
          <t>MSFT</t>
        </is>
      </c>
      <c r="B3" s="13" t="inlineStr">
        <is>
          <t>Microsoft Corp.</t>
        </is>
      </c>
      <c r="C3" s="13" t="inlineStr">
        <is>
          <t>Technology</t>
        </is>
      </c>
      <c r="D3" s="14" t="n">
        <v>5</v>
      </c>
      <c r="E3" s="15" t="n">
        <v>280</v>
      </c>
      <c r="F3" s="15" t="n">
        <v>415.32</v>
      </c>
      <c r="G3" s="15">
        <f>D3*E3</f>
        <v/>
      </c>
      <c r="H3" s="15">
        <f>D3*F3</f>
        <v/>
      </c>
      <c r="I3" s="27">
        <f>H3-G3</f>
        <v/>
      </c>
      <c r="J3" s="28">
        <f>IFERROR(I3/G3,0)</f>
        <v/>
      </c>
      <c r="K3" s="27">
        <f>D3*(F3-413.1)</f>
        <v/>
      </c>
      <c r="L3" s="28">
        <f>IFERROR(K3/(D3*413.1),0)</f>
        <v/>
      </c>
    </row>
    <row r="4" ht="20" customHeight="1">
      <c r="A4" s="8" t="inlineStr">
        <is>
          <t>GOOGL</t>
        </is>
      </c>
      <c r="B4" s="8" t="inlineStr">
        <is>
          <t>Alphabet Inc.</t>
        </is>
      </c>
      <c r="C4" s="8" t="inlineStr">
        <is>
          <t>Communication Svcs</t>
        </is>
      </c>
      <c r="D4" s="9" t="n">
        <v>3</v>
      </c>
      <c r="E4" s="10" t="n">
        <v>2800</v>
      </c>
      <c r="F4" s="10" t="n">
        <v>174.35</v>
      </c>
      <c r="G4" s="10">
        <f>D4*E4</f>
        <v/>
      </c>
      <c r="H4" s="10">
        <f>D4*F4</f>
        <v/>
      </c>
      <c r="I4" s="29">
        <f>H4-G4</f>
        <v/>
      </c>
      <c r="J4" s="30">
        <f>IFERROR(I4/G4,0)</f>
        <v/>
      </c>
      <c r="K4" s="25">
        <f>D4*(F4-172.9)</f>
        <v/>
      </c>
      <c r="L4" s="26">
        <f>IFERROR(K4/(D4*172.9),0)</f>
        <v/>
      </c>
    </row>
    <row r="5" ht="20" customHeight="1">
      <c r="A5" s="13" t="inlineStr">
        <is>
          <t>AMZN</t>
        </is>
      </c>
      <c r="B5" s="13" t="inlineStr">
        <is>
          <t>Amazon.com Inc.</t>
        </is>
      </c>
      <c r="C5" s="13" t="inlineStr">
        <is>
          <t>Consumer Discret.</t>
        </is>
      </c>
      <c r="D5" s="14" t="n">
        <v>8</v>
      </c>
      <c r="E5" s="15" t="n">
        <v>170</v>
      </c>
      <c r="F5" s="15" t="n">
        <v>214.1</v>
      </c>
      <c r="G5" s="15">
        <f>D5*E5</f>
        <v/>
      </c>
      <c r="H5" s="15">
        <f>D5*F5</f>
        <v/>
      </c>
      <c r="I5" s="27">
        <f>H5-G5</f>
        <v/>
      </c>
      <c r="J5" s="28">
        <f>IFERROR(I5/G5,0)</f>
        <v/>
      </c>
      <c r="K5" s="27">
        <f>D5*(F5-212.4)</f>
        <v/>
      </c>
      <c r="L5" s="28">
        <f>IFERROR(K5/(D5*212.4),0)</f>
        <v/>
      </c>
    </row>
    <row r="6" ht="20" customHeight="1">
      <c r="A6" s="8" t="inlineStr">
        <is>
          <t>JPM</t>
        </is>
      </c>
      <c r="B6" s="8" t="inlineStr">
        <is>
          <t>JPMorgan Chase &amp; Co.</t>
        </is>
      </c>
      <c r="C6" s="8" t="inlineStr">
        <is>
          <t>Financials</t>
        </is>
      </c>
      <c r="D6" s="9" t="n">
        <v>15</v>
      </c>
      <c r="E6" s="10" t="n">
        <v>185</v>
      </c>
      <c r="F6" s="10" t="n">
        <v>283.45</v>
      </c>
      <c r="G6" s="10">
        <f>D6*E6</f>
        <v/>
      </c>
      <c r="H6" s="10">
        <f>D6*F6</f>
        <v/>
      </c>
      <c r="I6" s="25">
        <f>H6-G6</f>
        <v/>
      </c>
      <c r="J6" s="26">
        <f>IFERROR(I6/G6,0)</f>
        <v/>
      </c>
      <c r="K6" s="25">
        <f>D6*(F6-281.2)</f>
        <v/>
      </c>
      <c r="L6" s="26">
        <f>IFERROR(K6/(D6*281.2),0)</f>
        <v/>
      </c>
    </row>
    <row r="7" ht="20" customHeight="1">
      <c r="A7" s="13" t="inlineStr">
        <is>
          <t>BAC</t>
        </is>
      </c>
      <c r="B7" s="13" t="inlineStr">
        <is>
          <t>Bank of America Corp.</t>
        </is>
      </c>
      <c r="C7" s="13" t="inlineStr">
        <is>
          <t>Financials</t>
        </is>
      </c>
      <c r="D7" s="14" t="n">
        <v>20</v>
      </c>
      <c r="E7" s="15" t="n">
        <v>38</v>
      </c>
      <c r="F7" s="15" t="n">
        <v>44.12</v>
      </c>
      <c r="G7" s="15">
        <f>D7*E7</f>
        <v/>
      </c>
      <c r="H7" s="15">
        <f>D7*F7</f>
        <v/>
      </c>
      <c r="I7" s="27">
        <f>H7-G7</f>
        <v/>
      </c>
      <c r="J7" s="28">
        <f>IFERROR(I7/G7,0)</f>
        <v/>
      </c>
      <c r="K7" s="27">
        <f>D7*(F7-43.85)</f>
        <v/>
      </c>
      <c r="L7" s="28">
        <f>IFERROR(K7/(D7*43.85),0)</f>
        <v/>
      </c>
    </row>
    <row r="8" ht="20" customHeight="1">
      <c r="A8" s="8" t="inlineStr">
        <is>
          <t>GS</t>
        </is>
      </c>
      <c r="B8" s="8" t="inlineStr">
        <is>
          <t>Goldman Sachs Group Inc.</t>
        </is>
      </c>
      <c r="C8" s="8" t="inlineStr">
        <is>
          <t>Financials</t>
        </is>
      </c>
      <c r="D8" s="9" t="n">
        <v>4</v>
      </c>
      <c r="E8" s="10" t="n">
        <v>410</v>
      </c>
      <c r="F8" s="10" t="n">
        <v>598.2</v>
      </c>
      <c r="G8" s="10">
        <f>D8*E8</f>
        <v/>
      </c>
      <c r="H8" s="10">
        <f>D8*F8</f>
        <v/>
      </c>
      <c r="I8" s="25">
        <f>H8-G8</f>
        <v/>
      </c>
      <c r="J8" s="26">
        <f>IFERROR(I8/G8,0)</f>
        <v/>
      </c>
      <c r="K8" s="25">
        <f>D8*(F8-594.1)</f>
        <v/>
      </c>
      <c r="L8" s="26">
        <f>IFERROR(K8/(D8*594.1),0)</f>
        <v/>
      </c>
    </row>
    <row r="9" ht="20" customHeight="1">
      <c r="A9" s="13" t="inlineStr">
        <is>
          <t>NVDA</t>
        </is>
      </c>
      <c r="B9" s="13" t="inlineStr">
        <is>
          <t>NVIDIA Corp.</t>
        </is>
      </c>
      <c r="C9" s="13" t="inlineStr">
        <is>
          <t>Technology</t>
        </is>
      </c>
      <c r="D9" s="14" t="n">
        <v>6</v>
      </c>
      <c r="E9" s="15" t="n">
        <v>500</v>
      </c>
      <c r="F9" s="15" t="n">
        <v>875.4</v>
      </c>
      <c r="G9" s="15">
        <f>D9*E9</f>
        <v/>
      </c>
      <c r="H9" s="15">
        <f>D9*F9</f>
        <v/>
      </c>
      <c r="I9" s="27">
        <f>H9-G9</f>
        <v/>
      </c>
      <c r="J9" s="28">
        <f>IFERROR(I9/G9,0)</f>
        <v/>
      </c>
      <c r="K9" s="27">
        <f>D9*(F9-869.7)</f>
        <v/>
      </c>
      <c r="L9" s="28">
        <f>IFERROR(K9/(D9*869.7),0)</f>
        <v/>
      </c>
    </row>
    <row r="10" ht="22" customHeight="1">
      <c r="A10" s="20" t="inlineStr">
        <is>
          <t>TOTAL</t>
        </is>
      </c>
      <c r="B10" s="21" t="n"/>
      <c r="C10" s="21" t="n"/>
      <c r="D10" s="21" t="n"/>
      <c r="E10" s="21" t="n"/>
      <c r="F10" s="21" t="n"/>
      <c r="G10" s="22">
        <f>SUM(G2:G9)</f>
        <v/>
      </c>
      <c r="H10" s="22">
        <f>SUM(H2:H9)</f>
        <v/>
      </c>
      <c r="I10" s="31">
        <f>SUM(I2:I9)</f>
        <v/>
      </c>
      <c r="J10" s="32">
        <f>IFERROR(I10/G10,0)</f>
        <v/>
      </c>
      <c r="K10" s="31">
        <f>SUM(K2:K9)</f>
        <v/>
      </c>
      <c r="L10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28" customHeight="1">
      <c r="A1" s="24" t="inlineStr">
        <is>
          <t>Ticker</t>
        </is>
      </c>
      <c r="B1" s="24" t="inlineStr">
        <is>
          <t>Company</t>
        </is>
      </c>
      <c r="C1" s="24" t="inlineStr">
        <is>
          <t>Current Price</t>
        </is>
      </c>
      <c r="D1" s="24" t="inlineStr">
        <is>
          <t>1D Return</t>
        </is>
      </c>
      <c r="E1" s="24" t="inlineStr">
        <is>
          <t>1W Return</t>
        </is>
      </c>
      <c r="F1" s="24" t="inlineStr">
        <is>
          <t>1M Return</t>
        </is>
      </c>
      <c r="G1" s="24" t="inlineStr">
        <is>
          <t>1Y Return</t>
        </is>
      </c>
      <c r="H1" s="24" t="inlineStr">
        <is>
          <t>52W High</t>
        </is>
      </c>
      <c r="I1" s="24" t="inlineStr">
        <is>
          <t>52W Low</t>
        </is>
      </c>
      <c r="J1" s="24" t="inlineStr">
        <is>
          <t>vs 52W High</t>
        </is>
      </c>
    </row>
    <row r="2" ht="20" customHeight="1">
      <c r="A2" s="8" t="inlineStr">
        <is>
          <t>AAPL</t>
        </is>
      </c>
      <c r="B2" s="8" t="inlineStr">
        <is>
          <t>Apple Inc.</t>
        </is>
      </c>
      <c r="C2" s="10" t="n">
        <v>227.5</v>
      </c>
      <c r="D2" s="12" t="n">
        <v>0.007528786536758142</v>
      </c>
      <c r="E2" s="12" t="n">
        <v>0.03362108132666972</v>
      </c>
      <c r="F2" s="33" t="n">
        <v>0.08178792201616732</v>
      </c>
      <c r="G2" s="33" t="n">
        <v>0.2766554433221101</v>
      </c>
      <c r="H2" s="10" t="n">
        <v>237.23</v>
      </c>
      <c r="I2" s="10" t="n">
        <v>164.08</v>
      </c>
      <c r="J2" s="19" t="n">
        <v>-0.04101504868692826</v>
      </c>
    </row>
    <row r="3" ht="20" customHeight="1">
      <c r="A3" s="13" t="inlineStr">
        <is>
          <t>MSFT</t>
        </is>
      </c>
      <c r="B3" s="13" t="inlineStr">
        <is>
          <t>Microsoft Corp.</t>
        </is>
      </c>
      <c r="C3" s="15" t="n">
        <v>415.32</v>
      </c>
      <c r="D3" s="17" t="n">
        <v>0.005374001452432753</v>
      </c>
      <c r="E3" s="17" t="n">
        <v>0.01669522643818848</v>
      </c>
      <c r="F3" s="34" t="n">
        <v>0.05091093117408908</v>
      </c>
      <c r="G3" s="34" t="n">
        <v>0.3369386769676486</v>
      </c>
      <c r="H3" s="15" t="n">
        <v>468.35</v>
      </c>
      <c r="I3" s="15" t="n">
        <v>309.45</v>
      </c>
      <c r="J3" s="35" t="n">
        <v>-0.1132272872851501</v>
      </c>
    </row>
    <row r="4" ht="20" customHeight="1">
      <c r="A4" s="8" t="inlineStr">
        <is>
          <t>GOOGL</t>
        </is>
      </c>
      <c r="B4" s="8" t="inlineStr">
        <is>
          <t>Alphabet Inc.</t>
        </is>
      </c>
      <c r="C4" s="10" t="n">
        <v>174.35</v>
      </c>
      <c r="D4" s="12" t="n">
        <v>0.008386350491613584</v>
      </c>
      <c r="E4" s="12" t="n">
        <v>0.02438307873090485</v>
      </c>
      <c r="F4" s="33" t="n">
        <v>0.05411124546553802</v>
      </c>
      <c r="G4" s="33" t="n">
        <v>0.2744883040935671</v>
      </c>
      <c r="H4" s="10" t="n">
        <v>207.05</v>
      </c>
      <c r="I4" s="10" t="n">
        <v>130.67</v>
      </c>
      <c r="J4" s="36" t="n">
        <v>-0.1579328664573775</v>
      </c>
    </row>
    <row r="5" ht="20" customHeight="1">
      <c r="A5" s="13" t="inlineStr">
        <is>
          <t>AMZN</t>
        </is>
      </c>
      <c r="B5" s="13" t="inlineStr">
        <is>
          <t>Amazon.com Inc.</t>
        </is>
      </c>
      <c r="C5" s="15" t="n">
        <v>214.1</v>
      </c>
      <c r="D5" s="17" t="n">
        <v>0.008003766478342696</v>
      </c>
      <c r="E5" s="17" t="n">
        <v>0.02587446094873026</v>
      </c>
      <c r="F5" s="34" t="n">
        <v>0.07157157157157149</v>
      </c>
      <c r="G5" s="34" t="n">
        <v>0.1977622377622377</v>
      </c>
      <c r="H5" s="15" t="n">
        <v>242.52</v>
      </c>
      <c r="I5" s="15" t="n">
        <v>151.61</v>
      </c>
      <c r="J5" s="35" t="n">
        <v>-0.1171862114464787</v>
      </c>
    </row>
    <row r="6" ht="20" customHeight="1">
      <c r="A6" s="8" t="inlineStr">
        <is>
          <t>JPM</t>
        </is>
      </c>
      <c r="B6" s="8" t="inlineStr">
        <is>
          <t>JPMorgan Chase &amp; Co.</t>
        </is>
      </c>
      <c r="C6" s="10" t="n">
        <v>283.45</v>
      </c>
      <c r="D6" s="12" t="n">
        <v>0.008001422475106686</v>
      </c>
      <c r="E6" s="12" t="n">
        <v>0.02402456647398836</v>
      </c>
      <c r="F6" s="33" t="n">
        <v>0.0692191625801583</v>
      </c>
      <c r="G6" s="33" t="n">
        <v>0.4258048289738429</v>
      </c>
      <c r="H6" s="10" t="n">
        <v>288.54</v>
      </c>
      <c r="I6" s="10" t="n">
        <v>181.25</v>
      </c>
      <c r="J6" s="19" t="n">
        <v>-0.01764053510778412</v>
      </c>
    </row>
    <row r="7" ht="20" customHeight="1">
      <c r="A7" s="13" t="inlineStr">
        <is>
          <t>BAC</t>
        </is>
      </c>
      <c r="B7" s="13" t="inlineStr">
        <is>
          <t>Bank of America Corp.</t>
        </is>
      </c>
      <c r="C7" s="15" t="n">
        <v>44.12</v>
      </c>
      <c r="D7" s="17" t="n">
        <v>0.006157354618015872</v>
      </c>
      <c r="E7" s="17" t="n">
        <v>0.02843822843822841</v>
      </c>
      <c r="F7" s="34" t="n">
        <v>0.0682808716707022</v>
      </c>
      <c r="G7" s="34" t="n">
        <v>0.3150521609538003</v>
      </c>
      <c r="H7" s="15" t="n">
        <v>48.08</v>
      </c>
      <c r="I7" s="15" t="n">
        <v>30.38</v>
      </c>
      <c r="J7" s="35" t="n">
        <v>-0.08236272878535776</v>
      </c>
    </row>
    <row r="8" ht="20" customHeight="1">
      <c r="A8" s="8" t="inlineStr">
        <is>
          <t>GS</t>
        </is>
      </c>
      <c r="B8" s="8" t="inlineStr">
        <is>
          <t>Goldman Sachs Group Inc.</t>
        </is>
      </c>
      <c r="C8" s="10" t="n">
        <v>598.2</v>
      </c>
      <c r="D8" s="12" t="n">
        <v>0.006901195085002563</v>
      </c>
      <c r="E8" s="12" t="n">
        <v>0.02203997949769365</v>
      </c>
      <c r="F8" s="33" t="n">
        <v>0.0636557610241822</v>
      </c>
      <c r="G8" s="33" t="n">
        <v>0.4048849224988258</v>
      </c>
      <c r="H8" s="10" t="n">
        <v>648.08</v>
      </c>
      <c r="I8" s="10" t="n">
        <v>386.31</v>
      </c>
      <c r="J8" s="36" t="n">
        <v>-0.07696580669053202</v>
      </c>
    </row>
    <row r="9" ht="20" customHeight="1">
      <c r="A9" s="13" t="inlineStr">
        <is>
          <t>NVDA</t>
        </is>
      </c>
      <c r="B9" s="13" t="inlineStr">
        <is>
          <t>NVIDIA Corp.</t>
        </is>
      </c>
      <c r="C9" s="15" t="n">
        <v>875.4</v>
      </c>
      <c r="D9" s="17" t="n">
        <v>0.00655398413245939</v>
      </c>
      <c r="E9" s="17" t="n">
        <v>0.03573118788452429</v>
      </c>
      <c r="F9" s="34" t="n">
        <v>0.1072603086263597</v>
      </c>
      <c r="G9" s="34" t="n">
        <v>1.011951275568835</v>
      </c>
      <c r="H9" s="15" t="n">
        <v>974</v>
      </c>
      <c r="I9" s="15" t="n">
        <v>373.3</v>
      </c>
      <c r="J9" s="35" t="n">
        <v>-0.1012320328542095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6" customWidth="1" min="4" max="4"/>
    <col width="13" customWidth="1" min="5" max="5"/>
    <col width="13" customWidth="1" min="6" max="6"/>
    <col width="10" customWidth="1" min="7" max="7"/>
    <col width="13" customWidth="1" min="8" max="8"/>
    <col width="13" customWidth="1" min="9" max="9"/>
    <col width="14" customWidth="1" min="10" max="10"/>
  </cols>
  <sheetData>
    <row r="1" ht="28" customHeight="1">
      <c r="A1" s="24" t="inlineStr">
        <is>
          <t>Ticker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Market Cap</t>
        </is>
      </c>
      <c r="E1" s="24" t="inlineStr">
        <is>
          <t>P/E Ratio</t>
        </is>
      </c>
      <c r="F1" s="24" t="inlineStr">
        <is>
          <t>Div Yield</t>
        </is>
      </c>
      <c r="G1" s="24" t="inlineStr">
        <is>
          <t>Beta</t>
        </is>
      </c>
      <c r="H1" s="24" t="inlineStr">
        <is>
          <t>52W High</t>
        </is>
      </c>
      <c r="I1" s="24" t="inlineStr">
        <is>
          <t>52W Low</t>
        </is>
      </c>
      <c r="J1" s="24" t="inlineStr">
        <is>
          <t>52W Range</t>
        </is>
      </c>
    </row>
    <row r="2" ht="20" customHeight="1">
      <c r="A2" s="8" t="inlineStr">
        <is>
          <t>AAPL</t>
        </is>
      </c>
      <c r="B2" s="8" t="inlineStr">
        <is>
          <t>Apple Inc.</t>
        </is>
      </c>
      <c r="C2" s="8" t="inlineStr">
        <is>
          <t>Technology</t>
        </is>
      </c>
      <c r="D2" s="37" t="n">
        <v>3480000000000</v>
      </c>
      <c r="E2" s="38" t="n">
        <v>35.2</v>
      </c>
      <c r="F2" s="39" t="n">
        <v>0.0044</v>
      </c>
      <c r="G2" s="40" t="n">
        <v>1.24</v>
      </c>
      <c r="H2" s="10" t="n">
        <v>237.23</v>
      </c>
      <c r="I2" s="10" t="n">
        <v>164.08</v>
      </c>
      <c r="J2" s="10" t="n">
        <v>73.14999999999998</v>
      </c>
    </row>
    <row r="3" ht="20" customHeight="1">
      <c r="A3" s="13" t="inlineStr">
        <is>
          <t>MSFT</t>
        </is>
      </c>
      <c r="B3" s="13" t="inlineStr">
        <is>
          <t>Microsoft Corp.</t>
        </is>
      </c>
      <c r="C3" s="13" t="inlineStr">
        <is>
          <t>Technology</t>
        </is>
      </c>
      <c r="D3" s="41" t="n">
        <v>3090000000000</v>
      </c>
      <c r="E3" s="42" t="n">
        <v>37.8</v>
      </c>
      <c r="F3" s="43" t="n">
        <v>0.0068</v>
      </c>
      <c r="G3" s="44" t="n">
        <v>0.9</v>
      </c>
      <c r="H3" s="15" t="n">
        <v>468.35</v>
      </c>
      <c r="I3" s="15" t="n">
        <v>309.45</v>
      </c>
      <c r="J3" s="15" t="n">
        <v>158.9</v>
      </c>
    </row>
    <row r="4" ht="20" customHeight="1">
      <c r="A4" s="8" t="inlineStr">
        <is>
          <t>GOOGL</t>
        </is>
      </c>
      <c r="B4" s="8" t="inlineStr">
        <is>
          <t>Alphabet Inc.</t>
        </is>
      </c>
      <c r="C4" s="8" t="inlineStr">
        <is>
          <t>Communication Svcs</t>
        </is>
      </c>
      <c r="D4" s="37" t="n">
        <v>2170000000000</v>
      </c>
      <c r="E4" s="38" t="n">
        <v>27.4</v>
      </c>
      <c r="F4" s="39" t="n">
        <v/>
      </c>
      <c r="G4" s="40" t="n">
        <v>1.06</v>
      </c>
      <c r="H4" s="10" t="n">
        <v>207.05</v>
      </c>
      <c r="I4" s="10" t="n">
        <v>130.67</v>
      </c>
      <c r="J4" s="10" t="n">
        <v>76.38000000000002</v>
      </c>
    </row>
    <row r="5" ht="20" customHeight="1">
      <c r="A5" s="13" t="inlineStr">
        <is>
          <t>AMZN</t>
        </is>
      </c>
      <c r="B5" s="13" t="inlineStr">
        <is>
          <t>Amazon.com Inc.</t>
        </is>
      </c>
      <c r="C5" s="13" t="inlineStr">
        <is>
          <t>Consumer Discret.</t>
        </is>
      </c>
      <c r="D5" s="41" t="n">
        <v>2280000000000</v>
      </c>
      <c r="E5" s="42" t="n">
        <v>45.6</v>
      </c>
      <c r="F5" s="43" t="n">
        <v/>
      </c>
      <c r="G5" s="44" t="n">
        <v>1.16</v>
      </c>
      <c r="H5" s="15" t="n">
        <v>242.52</v>
      </c>
      <c r="I5" s="15" t="n">
        <v>151.61</v>
      </c>
      <c r="J5" s="15" t="n">
        <v>90.91</v>
      </c>
    </row>
    <row r="6" ht="20" customHeight="1">
      <c r="A6" s="8" t="inlineStr">
        <is>
          <t>JPM</t>
        </is>
      </c>
      <c r="B6" s="8" t="inlineStr">
        <is>
          <t>JPMorgan Chase &amp; Co.</t>
        </is>
      </c>
      <c r="C6" s="8" t="inlineStr">
        <is>
          <t>Financials</t>
        </is>
      </c>
      <c r="D6" s="37" t="n">
        <v>815000000000</v>
      </c>
      <c r="E6" s="38" t="n">
        <v>13.8</v>
      </c>
      <c r="F6" s="39" t="n">
        <v>0.0195</v>
      </c>
      <c r="G6" s="40" t="n">
        <v>1.11</v>
      </c>
      <c r="H6" s="10" t="n">
        <v>288.54</v>
      </c>
      <c r="I6" s="10" t="n">
        <v>181.25</v>
      </c>
      <c r="J6" s="10" t="n">
        <v>107.29</v>
      </c>
    </row>
    <row r="7" ht="20" customHeight="1">
      <c r="A7" s="13" t="inlineStr">
        <is>
          <t>BAC</t>
        </is>
      </c>
      <c r="B7" s="13" t="inlineStr">
        <is>
          <t>Bank of America Corp.</t>
        </is>
      </c>
      <c r="C7" s="13" t="inlineStr">
        <is>
          <t>Financials</t>
        </is>
      </c>
      <c r="D7" s="41" t="n">
        <v>344000000000</v>
      </c>
      <c r="E7" s="42" t="n">
        <v>14.2</v>
      </c>
      <c r="F7" s="43" t="n">
        <v>0.0226</v>
      </c>
      <c r="G7" s="44" t="n">
        <v>1.35</v>
      </c>
      <c r="H7" s="15" t="n">
        <v>48.08</v>
      </c>
      <c r="I7" s="15" t="n">
        <v>30.38</v>
      </c>
      <c r="J7" s="15" t="n">
        <v>17.7</v>
      </c>
    </row>
    <row r="8" ht="20" customHeight="1">
      <c r="A8" s="8" t="inlineStr">
        <is>
          <t>GS</t>
        </is>
      </c>
      <c r="B8" s="8" t="inlineStr">
        <is>
          <t>Goldman Sachs Group Inc.</t>
        </is>
      </c>
      <c r="C8" s="8" t="inlineStr">
        <is>
          <t>Financials</t>
        </is>
      </c>
      <c r="D8" s="37" t="n">
        <v>204000000000</v>
      </c>
      <c r="E8" s="38" t="n">
        <v>18.5</v>
      </c>
      <c r="F8" s="39" t="n">
        <v>0.02</v>
      </c>
      <c r="G8" s="40" t="n">
        <v>1.43</v>
      </c>
      <c r="H8" s="10" t="n">
        <v>648.08</v>
      </c>
      <c r="I8" s="10" t="n">
        <v>386.31</v>
      </c>
      <c r="J8" s="10" t="n">
        <v>261.77</v>
      </c>
    </row>
    <row r="9" ht="20" customHeight="1">
      <c r="A9" s="13" t="inlineStr">
        <is>
          <t>NVDA</t>
        </is>
      </c>
      <c r="B9" s="13" t="inlineStr">
        <is>
          <t>NVIDIA Corp.</t>
        </is>
      </c>
      <c r="C9" s="13" t="inlineStr">
        <is>
          <t>Technology</t>
        </is>
      </c>
      <c r="D9" s="41" t="n">
        <v>2150000000000</v>
      </c>
      <c r="E9" s="42" t="n">
        <v>72.3</v>
      </c>
      <c r="F9" s="43" t="n">
        <v>0.0003</v>
      </c>
      <c r="G9" s="44" t="n">
        <v>1.68</v>
      </c>
      <c r="H9" s="15" t="n">
        <v>974</v>
      </c>
      <c r="I9" s="15" t="n">
        <v>373.3</v>
      </c>
      <c r="J9" s="15" t="n">
        <v>600.7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2026-04-10T00:08:16Z</dcterms:created>
  <dcterms:modified xmlns:dcterms="http://purl.org/dc/terms/" xmlns:xsi="http://www.w3.org/2001/XMLSchema-instance" xsi:type="dcterms:W3CDTF">2026-04-10T00:08:16Z</dcterms:modified>
</cp:coreProperties>
</file>